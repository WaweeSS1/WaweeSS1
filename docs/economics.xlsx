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menetek" sheetId="1" state="visible" r:id="rId1"/>
    <sheet xmlns:r="http://schemas.openxmlformats.org/officeDocument/2006/relationships" name="Unit Economics" sheetId="2" state="visible" r:id="rId2"/>
    <sheet xmlns:r="http://schemas.openxmlformats.org/officeDocument/2006/relationships" name="Cohort &amp; LTV" sheetId="3" state="visible" r:id="rId3"/>
    <sheet xmlns:r="http://schemas.openxmlformats.org/officeDocument/2006/relationships" name="Break-even" sheetId="4" state="visible" r:id="rId4"/>
    <sheet xmlns:r="http://schemas.openxmlformats.org/officeDocument/2006/relationships" name="Olvass 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0.0&quot;x&quot;"/>
    <numFmt numFmtId="167" formatCode="0.0"/>
    <numFmt numFmtId="168" formatCode="#,##0.0"/>
  </numFmts>
  <fonts count="8">
    <font>
      <name val="Calibri"/>
      <family val="2"/>
      <color theme="1"/>
      <sz val="11"/>
      <scheme val="minor"/>
    </font>
    <font>
      <name val="Consolas"/>
      <b val="1"/>
      <color rgb="00D4920A"/>
      <sz val="16"/>
    </font>
    <font>
      <name val="Calibri"/>
      <i val="1"/>
      <color rgb="008B949E"/>
      <sz val="9"/>
    </font>
    <font>
      <name val="Consolas"/>
      <b val="1"/>
      <color rgb="00C9D1D9"/>
      <sz val="11"/>
    </font>
    <font>
      <name val="Calibri"/>
      <color rgb="00C9D1D9"/>
      <sz val="10"/>
    </font>
    <font>
      <name val="Consolas"/>
      <b val="1"/>
      <color rgb="000D1117"/>
      <sz val="11"/>
    </font>
    <font>
      <name val="Consolas"/>
      <b val="1"/>
      <color rgb="00D4920A"/>
      <sz val="11"/>
    </font>
    <font>
      <name val="Consolas"/>
      <color rgb="00C9D1D9"/>
      <sz val="11"/>
    </font>
  </fonts>
  <fills count="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D4920A"/>
      </patternFill>
    </fill>
  </fills>
  <borders count="6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  <border>
      <left/>
      <right/>
      <top style="thin">
        <color rgb="0030363D"/>
      </top>
      <bottom/>
      <diagonal/>
    </border>
    <border>
      <left/>
      <right style="thin">
        <color rgb="0030363D"/>
      </right>
      <top style="thin">
        <color rgb="0030363D"/>
      </top>
      <bottom/>
      <diagonal/>
    </border>
    <border>
      <left/>
      <right/>
      <top style="thin">
        <color rgb="0030363D"/>
      </top>
      <bottom style="thin">
        <color rgb="0030363D"/>
      </bottom>
      <diagonal/>
    </border>
    <border>
      <left/>
      <right style="thin">
        <color rgb="0030363D"/>
      </right>
      <top style="thin">
        <color rgb="0030363D"/>
      </top>
      <bottom style="thin">
        <color rgb="0030363D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center" vertical="center"/>
    </xf>
    <xf numFmtId="9" fontId="5" fillId="4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5" fontId="7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165" fontId="6" fillId="2" borderId="1" applyAlignment="1" pivotButton="0" quotePrefix="0" xfId="0">
      <alignment horizontal="center" vertical="center"/>
    </xf>
    <xf numFmtId="166" fontId="7" fillId="3" borderId="1" applyAlignment="1" pivotButton="0" quotePrefix="0" xfId="0">
      <alignment horizontal="center" vertical="center"/>
    </xf>
    <xf numFmtId="167" fontId="7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8" fontId="7" fillId="3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3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68" fontId="6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Rebound</author>
  </authors>
  <commentList>
    <comment ref="B5" authorId="0" shapeId="0">
      <text>
        <t>Csak broker-megerősített FTD + qualifying volume után</t>
      </text>
    </comment>
    <comment ref="B6" authorId="0" shapeId="0">
      <text>
        <t>Cashback-keretezés, NEM 'fizess be kapsz X'</t>
      </text>
    </comment>
    <comment ref="B7" authorId="0" shapeId="0">
      <text>
        <t>Signup csak XP-t ad, készpénz csak FTD után</t>
      </text>
    </comment>
    <comment ref="B8" authorId="0" shapeId="0">
      <text>
        <t>Működési költség allokáció</t>
      </text>
    </comment>
    <comment ref="B9" authorId="0" shapeId="0">
      <text>
        <t>Broker-nettó ~$8/lot 30%-a</t>
      </text>
    </comment>
    <comment ref="B11" authorId="0" shapeId="0">
      <text>
        <t>Mindig készpénz, kifizethető</t>
      </text>
    </comment>
    <comment ref="B12" authorId="0" shapeId="0">
      <text>
        <t>VIP tier</t>
      </text>
    </comment>
    <comment ref="B13" authorId="0" shapeId="0">
      <text>
        <t>0..1 között</t>
      </text>
    </comment>
    <comment ref="B15" authorId="0" shapeId="0">
      <text>
        <t>Retained trader feltételezés</t>
      </text>
    </comment>
    <comment ref="B16" authorId="0" shapeId="0">
      <text>
        <t>LTV időhorizont</t>
      </text>
    </comment>
    <comment ref="B17" authorId="0" shapeId="0">
      <text>
        <t>0..1 — havi kieső arány</t>
      </text>
    </comment>
    <comment ref="B18" authorId="0" shapeId="0">
      <text>
        <t>0..1</t>
      </text>
    </comment>
    <comment ref="B20" authorId="0" shapeId="0">
      <text>
        <t>Cohort méret</t>
      </text>
    </comment>
    <comment ref="B21" authorId="0" shapeId="0">
      <text>
        <t>Marketing / fő</t>
      </text>
    </comment>
    <comment ref="B22" authorId="0" shapeId="0">
      <text>
        <t>PAYOUT_MIN_USD — compliance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D4920A"/>
    <outlinePr summaryBelow="1" summaryRight="1"/>
    <pageSetUpPr/>
  </sheetPr>
  <dimension ref="A1:K2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50" customWidth="1" min="3" max="3"/>
  </cols>
  <sheetData>
    <row r="1">
      <c r="A1" s="1" t="inlineStr">
        <is>
          <t>REBOUND — GAZDASÁGI MODELL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Hangolható bemenetek · módosíts bármit, a többi lap újraszámol · forrás: compliance.ts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A4" s="4" t="inlineStr">
        <is>
          <t>CPA / BROKER BEVÉTEL</t>
        </is>
      </c>
    </row>
    <row r="5">
      <c r="A5" s="5" t="inlineStr">
        <is>
          <t>CPA összeg (broker fizet / qualified FTD)</t>
        </is>
      </c>
      <c r="B5" s="6" t="n">
        <v>600</v>
      </c>
      <c r="C5" s="7" t="inlineStr">
        <is>
          <t>Csak broker-megerősített FTD + qualifying volume után</t>
        </is>
      </c>
    </row>
    <row r="6">
      <c r="A6" s="5" t="inlineStr">
        <is>
          <t>Welcome cash (megemelt 1. havi rebate)</t>
        </is>
      </c>
      <c r="B6" s="6" t="n">
        <v>100</v>
      </c>
      <c r="C6" s="7" t="inlineStr">
        <is>
          <t>Cashback-keretezés, NEM 'fizess be kapsz X'</t>
        </is>
      </c>
    </row>
    <row r="7">
      <c r="A7" s="5" t="inlineStr">
        <is>
          <t>Referral cash (csak qualified FTD után)</t>
        </is>
      </c>
      <c r="B7" s="6" t="n">
        <v>80</v>
      </c>
      <c r="C7" s="7" t="inlineStr">
        <is>
          <t>Signup csak XP-t ad, készpénz csak FTD után</t>
        </is>
      </c>
    </row>
    <row r="8">
      <c r="A8" s="5" t="inlineStr">
        <is>
          <t>OPEX / CPA</t>
        </is>
      </c>
      <c r="B8" s="6" t="n">
        <v>40</v>
      </c>
      <c r="C8" s="7" t="inlineStr">
        <is>
          <t>Működési költség allokáció</t>
        </is>
      </c>
    </row>
    <row r="9">
      <c r="A9" s="5" t="inlineStr">
        <is>
          <t>RevShare gross / lot</t>
        </is>
      </c>
      <c r="B9" s="8" t="n">
        <v>2.4</v>
      </c>
      <c r="C9" s="7" t="inlineStr">
        <is>
          <t>Broker-nettó ~$8/lot 30%-a</t>
        </is>
      </c>
    </row>
    <row r="10">
      <c r="A10" s="4" t="inlineStr">
        <is>
          <t>REBATE (CASHBACK — soha nem trade-locked)</t>
        </is>
      </c>
    </row>
    <row r="11">
      <c r="A11" s="5" t="inlineStr">
        <is>
          <t>Standard rebate / lot</t>
        </is>
      </c>
      <c r="B11" s="8" t="n">
        <v>1.2</v>
      </c>
      <c r="C11" s="7" t="inlineStr">
        <is>
          <t>Mindig készpénz, kifizethető</t>
        </is>
      </c>
    </row>
    <row r="12">
      <c r="A12" s="5" t="inlineStr">
        <is>
          <t>VIP rebate / lot</t>
        </is>
      </c>
      <c r="B12" s="8" t="n">
        <v>1.6</v>
      </c>
      <c r="C12" s="7" t="inlineStr">
        <is>
          <t>VIP tier</t>
        </is>
      </c>
    </row>
    <row r="13">
      <c r="A13" s="5" t="inlineStr">
        <is>
          <t>VIP felhasználók aránya</t>
        </is>
      </c>
      <c r="B13" s="9" t="n">
        <v>0.2</v>
      </c>
      <c r="C13" s="7" t="inlineStr">
        <is>
          <t>0..1 között</t>
        </is>
      </c>
    </row>
    <row r="14">
      <c r="A14" s="4" t="inlineStr">
        <is>
          <t>VISELKEDÉS / RETENCIÓ</t>
        </is>
      </c>
    </row>
    <row r="15">
      <c r="A15" s="5" t="inlineStr">
        <is>
          <t>Átlag lot / hó / aktív trader</t>
        </is>
      </c>
      <c r="B15" s="6" t="n">
        <v>10</v>
      </c>
      <c r="C15" s="7" t="inlineStr">
        <is>
          <t>Retained trader feltételezés</t>
        </is>
      </c>
    </row>
    <row r="16">
      <c r="A16" s="5" t="inlineStr">
        <is>
          <t>Retenció (hónap)</t>
        </is>
      </c>
      <c r="B16" s="6" t="n">
        <v>12</v>
      </c>
      <c r="C16" s="7" t="inlineStr">
        <is>
          <t>LTV időhorizont</t>
        </is>
      </c>
    </row>
    <row r="17">
      <c r="A17" s="5" t="inlineStr">
        <is>
          <t>Havi lemorzsolódás (churn)</t>
        </is>
      </c>
      <c r="B17" s="9" t="n">
        <v>0.08</v>
      </c>
      <c r="C17" s="7" t="inlineStr">
        <is>
          <t>0..1 — havi kieső arány</t>
        </is>
      </c>
    </row>
    <row r="18">
      <c r="A18" s="5" t="inlineStr">
        <is>
          <t>FTD konverzió (signup → qualified FTD)</t>
        </is>
      </c>
      <c r="B18" s="9" t="n">
        <v>0.85</v>
      </c>
      <c r="C18" s="7" t="inlineStr">
        <is>
          <t>0..1</t>
        </is>
      </c>
    </row>
    <row r="19">
      <c r="A19" s="4" t="inlineStr">
        <is>
          <t>AKVIZÍCIÓ</t>
        </is>
      </c>
    </row>
    <row r="20">
      <c r="A20" s="5" t="inlineStr">
        <is>
          <t>Új signup / hó</t>
        </is>
      </c>
      <c r="B20" s="6" t="n">
        <v>100</v>
      </c>
      <c r="C20" s="7" t="inlineStr">
        <is>
          <t>Cohort méret</t>
        </is>
      </c>
    </row>
    <row r="21">
      <c r="A21" s="5" t="inlineStr">
        <is>
          <t>CAC (akvizíciós költség / signup)</t>
        </is>
      </c>
      <c r="B21" s="6" t="n">
        <v>25</v>
      </c>
      <c r="C21" s="7" t="inlineStr">
        <is>
          <t>Marketing / fő</t>
        </is>
      </c>
    </row>
    <row r="22">
      <c r="A22" s="5" t="inlineStr">
        <is>
          <t>Min. kifizetés</t>
        </is>
      </c>
      <c r="B22" s="6" t="n">
        <v>20</v>
      </c>
      <c r="C22" s="7" t="inlineStr">
        <is>
          <t>PAYOUT_MIN_USD — compliance</t>
        </is>
      </c>
    </row>
    <row r="23">
      <c r="A23" s="5" t="inlineStr">
        <is>
          <t>→ Nettó margin / CPA (számított)</t>
        </is>
      </c>
      <c r="B23" s="10">
        <f>Bemenetek!B5-Bemenetek!B6-Bemenetek!B7-Bemenetek!B8</f>
        <v/>
      </c>
      <c r="C23" s="7" t="inlineStr">
        <is>
          <t>CPA − welcome − referral − opex</t>
        </is>
      </c>
    </row>
    <row r="25">
      <c r="A25" s="4" t="inlineStr">
        <is>
          <t>COMPLIANCE GATE</t>
        </is>
      </c>
    </row>
    <row r="26">
      <c r="A26" s="7" t="inlineStr">
        <is>
          <t>• Rebate mindig készpénz — SOHA nem trade-locked.</t>
        </is>
      </c>
      <c r="B26" s="11" t="n"/>
      <c r="C26" s="12" t="n"/>
    </row>
    <row r="27">
      <c r="A27" s="7" t="inlineStr">
        <is>
          <t>• Jutalom CSAK broker-megerősített FTD + qualifying volume után.</t>
        </is>
      </c>
      <c r="B27" s="11" t="n"/>
      <c r="C27" s="12" t="n"/>
    </row>
    <row r="28">
      <c r="A28" s="7" t="inlineStr">
        <is>
          <t>• Clawback aktív, ha a broker visszavonja a CPA-t.</t>
        </is>
      </c>
      <c r="B28" s="11" t="n"/>
      <c r="C28" s="12" t="n"/>
    </row>
    <row r="29">
      <c r="A29" s="7" t="inlineStr">
        <is>
          <t>• Kockázati figyelmeztetés minden felületen. Tools, not tips.</t>
        </is>
      </c>
      <c r="B29" s="11" t="n"/>
      <c r="C29" s="12" t="n"/>
    </row>
  </sheetData>
  <mergeCells count="9">
    <mergeCell ref="A10:C10"/>
    <mergeCell ref="A25:C25"/>
    <mergeCell ref="A28:C28"/>
    <mergeCell ref="A19:C19"/>
    <mergeCell ref="A14:C14"/>
    <mergeCell ref="A27:C27"/>
    <mergeCell ref="A29:C29"/>
    <mergeCell ref="A4:C4"/>
    <mergeCell ref="A26:C2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4920A"/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46" customWidth="1" min="3" max="3"/>
  </cols>
  <sheetData>
    <row r="1">
      <c r="A1" s="1" t="inlineStr">
        <is>
          <t>UNIT ECONOMICS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1 retained trader · élő képletek a Bemenetek lapról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A4" s="13" t="inlineStr">
        <is>
          <t>Mutató</t>
        </is>
      </c>
      <c r="B4" s="14" t="inlineStr">
        <is>
          <t>Érték</t>
        </is>
      </c>
      <c r="C4" s="13" t="inlineStr">
        <is>
          <t>Megjegyzés</t>
        </is>
      </c>
    </row>
    <row r="5">
      <c r="A5" s="5" t="inlineStr">
        <is>
          <t>Vegyes rebate / lot (std/VIP súlyozott)</t>
        </is>
      </c>
      <c r="B5" s="15">
        <f>Bemenetek!B11*(1-Bemenetek!B13)+Bemenetek!B12*Bemenetek!B13</f>
        <v/>
      </c>
      <c r="C5" s="7" t="inlineStr">
        <is>
          <t>Súlyozott a VIP arány szerint</t>
        </is>
      </c>
    </row>
    <row r="6">
      <c r="A6" s="5" t="inlineStr">
        <is>
          <t>RevShare gross / hó</t>
        </is>
      </c>
      <c r="B6" s="15">
        <f>Bemenetek!B15*Bemenetek!B9</f>
        <v/>
      </c>
      <c r="C6" s="7" t="inlineStr">
        <is>
          <t>lot/hó × RevShare/lot</t>
        </is>
      </c>
    </row>
    <row r="7">
      <c r="A7" s="5" t="inlineStr">
        <is>
          <t>Rebate kifizetve / hó</t>
        </is>
      </c>
      <c r="B7" s="15">
        <f>Bemenetek!B15*( Bemenetek!B11*(1-Bemenetek!B13)+Bemenetek!B12*Bemenetek!B13 )</f>
        <v/>
      </c>
      <c r="C7" s="7" t="inlineStr">
        <is>
          <t>Visszaosztott cashback</t>
        </is>
      </c>
    </row>
    <row r="8">
      <c r="A8" s="5" t="inlineStr">
        <is>
          <t>Nettó RevShare margin / hó</t>
        </is>
      </c>
      <c r="B8" s="15">
        <f>'Unit Economics'!B6-'Unit Economics'!B7</f>
        <v/>
      </c>
      <c r="C8" s="7" t="inlineStr">
        <is>
          <t>RevShare − rebate</t>
        </is>
      </c>
    </row>
    <row r="9">
      <c r="A9" s="5" t="inlineStr">
        <is>
          <t>Nettó margin / hó × retenció</t>
        </is>
      </c>
      <c r="B9" s="15">
        <f>'Unit Economics'!B8*Bemenetek!B16</f>
        <v/>
      </c>
      <c r="C9" s="7" t="inlineStr">
        <is>
          <t>Folyó margin a retenciós ablakban</t>
        </is>
      </c>
    </row>
    <row r="10">
      <c r="A10" s="5" t="inlineStr">
        <is>
          <t>+ Nettó CPA margin (egyszeri)</t>
        </is>
      </c>
      <c r="B10" s="15">
        <f>Bemenetek!B23</f>
        <v/>
      </c>
      <c r="C10" s="7" t="inlineStr">
        <is>
          <t>FTD-nél egyszer</t>
        </is>
      </c>
    </row>
    <row r="11">
      <c r="A11" s="5">
        <f> Bruttó LTV / trader</f>
        <v/>
      </c>
      <c r="B11" s="15">
        <f>'Unit Economics'!B9+'Unit Economics'!B10</f>
        <v/>
      </c>
      <c r="C11" s="7" t="inlineStr">
        <is>
          <t>CPA margin + folyó margin</t>
        </is>
      </c>
    </row>
    <row r="12">
      <c r="A12" s="5" t="inlineStr">
        <is>
          <t>− CAC</t>
        </is>
      </c>
      <c r="B12" s="15">
        <f>-Bemenetek!B21</f>
        <v/>
      </c>
      <c r="C12" s="7" t="inlineStr">
        <is>
          <t>Akvizíciós költség</t>
        </is>
      </c>
    </row>
    <row r="13">
      <c r="A13" s="16">
        <f> NETTÓ LTV / trader</f>
        <v/>
      </c>
      <c r="B13" s="17">
        <f>'Unit Economics'!B11+'Unit Economics'!B12</f>
        <v/>
      </c>
      <c r="C13" s="7" t="inlineStr">
        <is>
          <t>A kulcsmutató</t>
        </is>
      </c>
    </row>
    <row r="14">
      <c r="A14" s="5" t="inlineStr">
        <is>
          <t>LTV / CAC arány</t>
        </is>
      </c>
      <c r="B14" s="18">
        <f>'Unit Economics'!B11/Bemenetek!B21</f>
        <v/>
      </c>
      <c r="C14" s="7" t="inlineStr">
        <is>
          <t>&gt;3x egészséges</t>
        </is>
      </c>
    </row>
    <row r="15">
      <c r="A15" s="5" t="inlineStr">
        <is>
          <t>Megtérülés (hónap)</t>
        </is>
      </c>
      <c r="B15" s="19">
        <f>IF('Unit Economics'!B8&lt;=0,"n/a",Bemenetek!B21/'Unit Economics'!B8)</f>
        <v/>
      </c>
      <c r="C15" s="7" t="inlineStr">
        <is>
          <t>CAC / havi margin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4920A"/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6" customWidth="1" min="4" max="4"/>
    <col width="14" customWidth="1" min="5" max="5"/>
    <col width="16" customWidth="1" min="6" max="6"/>
    <col width="18" customWidth="1" min="7" max="7"/>
  </cols>
  <sheetData>
    <row r="1">
      <c r="A1" s="1" t="inlineStr">
        <is>
          <t>COHORT / LTV PROJEKCIÓ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1 havi signup-cohort 12 hónapon át · churn-nel diszkontálva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A4" s="20" t="inlineStr">
        <is>
          <t>Hónap</t>
        </is>
      </c>
      <c r="B4" s="20" t="inlineStr">
        <is>
          <t>Aktív traderek</t>
        </is>
      </c>
      <c r="C4" s="20" t="inlineStr">
        <is>
          <t>Lot / hó</t>
        </is>
      </c>
      <c r="D4" s="20" t="inlineStr">
        <is>
          <t>RevShare gross</t>
        </is>
      </c>
      <c r="E4" s="20" t="inlineStr">
        <is>
          <t>Rebate kif.</t>
        </is>
      </c>
      <c r="F4" s="20" t="inlineStr">
        <is>
          <t>Nettó margin</t>
        </is>
      </c>
      <c r="G4" s="20" t="inlineStr">
        <is>
          <t>Kumulált nettó</t>
        </is>
      </c>
    </row>
    <row r="5">
      <c r="A5" s="21" t="n">
        <v>1</v>
      </c>
      <c r="B5" s="22">
        <f>Bemenetek!B20*Bemenetek!B18</f>
        <v/>
      </c>
      <c r="C5" s="23">
        <f>B5*Bemenetek!B15</f>
        <v/>
      </c>
      <c r="D5" s="24">
        <f>C5*Bemenetek!B9</f>
        <v/>
      </c>
      <c r="E5" s="24">
        <f>C5*( Bemenetek!B11*(1-Bemenetek!B13)+Bemenetek!B12*Bemenetek!B13 )</f>
        <v/>
      </c>
      <c r="F5" s="10">
        <f>D5-E5+B5*Bemenetek!B23</f>
        <v/>
      </c>
      <c r="G5" s="24">
        <f>F5-B5*Bemenetek!B21</f>
        <v/>
      </c>
    </row>
    <row r="6">
      <c r="A6" s="21" t="n">
        <v>2</v>
      </c>
      <c r="B6" s="22">
        <f>B5*(1-Bemenetek!B17)</f>
        <v/>
      </c>
      <c r="C6" s="23">
        <f>B6*Bemenetek!B15</f>
        <v/>
      </c>
      <c r="D6" s="24">
        <f>C6*Bemenetek!B9</f>
        <v/>
      </c>
      <c r="E6" s="24">
        <f>C6*( Bemenetek!B11*(1-Bemenetek!B13)+Bemenetek!B12*Bemenetek!B13 )</f>
        <v/>
      </c>
      <c r="F6" s="24">
        <f>D6-E6</f>
        <v/>
      </c>
      <c r="G6" s="24">
        <f>G5+F6</f>
        <v/>
      </c>
    </row>
    <row r="7">
      <c r="A7" s="21" t="n">
        <v>3</v>
      </c>
      <c r="B7" s="22">
        <f>B6*(1-Bemenetek!B17)</f>
        <v/>
      </c>
      <c r="C7" s="23">
        <f>B7*Bemenetek!B15</f>
        <v/>
      </c>
      <c r="D7" s="24">
        <f>C7*Bemenetek!B9</f>
        <v/>
      </c>
      <c r="E7" s="24">
        <f>C7*( Bemenetek!B11*(1-Bemenetek!B13)+Bemenetek!B12*Bemenetek!B13 )</f>
        <v/>
      </c>
      <c r="F7" s="24">
        <f>D7-E7</f>
        <v/>
      </c>
      <c r="G7" s="24">
        <f>G6+F7</f>
        <v/>
      </c>
    </row>
    <row r="8">
      <c r="A8" s="21" t="n">
        <v>4</v>
      </c>
      <c r="B8" s="22">
        <f>B7*(1-Bemenetek!B17)</f>
        <v/>
      </c>
      <c r="C8" s="23">
        <f>B8*Bemenetek!B15</f>
        <v/>
      </c>
      <c r="D8" s="24">
        <f>C8*Bemenetek!B9</f>
        <v/>
      </c>
      <c r="E8" s="24">
        <f>C8*( Bemenetek!B11*(1-Bemenetek!B13)+Bemenetek!B12*Bemenetek!B13 )</f>
        <v/>
      </c>
      <c r="F8" s="24">
        <f>D8-E8</f>
        <v/>
      </c>
      <c r="G8" s="24">
        <f>G7+F8</f>
        <v/>
      </c>
    </row>
    <row r="9">
      <c r="A9" s="21" t="n">
        <v>5</v>
      </c>
      <c r="B9" s="22">
        <f>B8*(1-Bemenetek!B17)</f>
        <v/>
      </c>
      <c r="C9" s="23">
        <f>B9*Bemenetek!B15</f>
        <v/>
      </c>
      <c r="D9" s="24">
        <f>C9*Bemenetek!B9</f>
        <v/>
      </c>
      <c r="E9" s="24">
        <f>C9*( Bemenetek!B11*(1-Bemenetek!B13)+Bemenetek!B12*Bemenetek!B13 )</f>
        <v/>
      </c>
      <c r="F9" s="24">
        <f>D9-E9</f>
        <v/>
      </c>
      <c r="G9" s="24">
        <f>G8+F9</f>
        <v/>
      </c>
    </row>
    <row r="10">
      <c r="A10" s="21" t="n">
        <v>6</v>
      </c>
      <c r="B10" s="22">
        <f>B9*(1-Bemenetek!B17)</f>
        <v/>
      </c>
      <c r="C10" s="23">
        <f>B10*Bemenetek!B15</f>
        <v/>
      </c>
      <c r="D10" s="24">
        <f>C10*Bemenetek!B9</f>
        <v/>
      </c>
      <c r="E10" s="24">
        <f>C10*( Bemenetek!B11*(1-Bemenetek!B13)+Bemenetek!B12*Bemenetek!B13 )</f>
        <v/>
      </c>
      <c r="F10" s="24">
        <f>D10-E10</f>
        <v/>
      </c>
      <c r="G10" s="24">
        <f>G9+F10</f>
        <v/>
      </c>
    </row>
    <row r="11">
      <c r="A11" s="21" t="n">
        <v>7</v>
      </c>
      <c r="B11" s="22">
        <f>B10*(1-Bemenetek!B17)</f>
        <v/>
      </c>
      <c r="C11" s="23">
        <f>B11*Bemenetek!B15</f>
        <v/>
      </c>
      <c r="D11" s="24">
        <f>C11*Bemenetek!B9</f>
        <v/>
      </c>
      <c r="E11" s="24">
        <f>C11*( Bemenetek!B11*(1-Bemenetek!B13)+Bemenetek!B12*Bemenetek!B13 )</f>
        <v/>
      </c>
      <c r="F11" s="24">
        <f>D11-E11</f>
        <v/>
      </c>
      <c r="G11" s="24">
        <f>G10+F11</f>
        <v/>
      </c>
    </row>
    <row r="12">
      <c r="A12" s="21" t="n">
        <v>8</v>
      </c>
      <c r="B12" s="22">
        <f>B11*(1-Bemenetek!B17)</f>
        <v/>
      </c>
      <c r="C12" s="23">
        <f>B12*Bemenetek!B15</f>
        <v/>
      </c>
      <c r="D12" s="24">
        <f>C12*Bemenetek!B9</f>
        <v/>
      </c>
      <c r="E12" s="24">
        <f>C12*( Bemenetek!B11*(1-Bemenetek!B13)+Bemenetek!B12*Bemenetek!B13 )</f>
        <v/>
      </c>
      <c r="F12" s="24">
        <f>D12-E12</f>
        <v/>
      </c>
      <c r="G12" s="24">
        <f>G11+F12</f>
        <v/>
      </c>
    </row>
    <row r="13">
      <c r="A13" s="21" t="n">
        <v>9</v>
      </c>
      <c r="B13" s="22">
        <f>B12*(1-Bemenetek!B17)</f>
        <v/>
      </c>
      <c r="C13" s="23">
        <f>B13*Bemenetek!B15</f>
        <v/>
      </c>
      <c r="D13" s="24">
        <f>C13*Bemenetek!B9</f>
        <v/>
      </c>
      <c r="E13" s="24">
        <f>C13*( Bemenetek!B11*(1-Bemenetek!B13)+Bemenetek!B12*Bemenetek!B13 )</f>
        <v/>
      </c>
      <c r="F13" s="24">
        <f>D13-E13</f>
        <v/>
      </c>
      <c r="G13" s="24">
        <f>G12+F13</f>
        <v/>
      </c>
    </row>
    <row r="14">
      <c r="A14" s="21" t="n">
        <v>10</v>
      </c>
      <c r="B14" s="22">
        <f>B13*(1-Bemenetek!B17)</f>
        <v/>
      </c>
      <c r="C14" s="23">
        <f>B14*Bemenetek!B15</f>
        <v/>
      </c>
      <c r="D14" s="24">
        <f>C14*Bemenetek!B9</f>
        <v/>
      </c>
      <c r="E14" s="24">
        <f>C14*( Bemenetek!B11*(1-Bemenetek!B13)+Bemenetek!B12*Bemenetek!B13 )</f>
        <v/>
      </c>
      <c r="F14" s="24">
        <f>D14-E14</f>
        <v/>
      </c>
      <c r="G14" s="24">
        <f>G13+F14</f>
        <v/>
      </c>
    </row>
    <row r="15">
      <c r="A15" s="21" t="n">
        <v>11</v>
      </c>
      <c r="B15" s="22">
        <f>B14*(1-Bemenetek!B17)</f>
        <v/>
      </c>
      <c r="C15" s="23">
        <f>B15*Bemenetek!B15</f>
        <v/>
      </c>
      <c r="D15" s="24">
        <f>C15*Bemenetek!B9</f>
        <v/>
      </c>
      <c r="E15" s="24">
        <f>C15*( Bemenetek!B11*(1-Bemenetek!B13)+Bemenetek!B12*Bemenetek!B13 )</f>
        <v/>
      </c>
      <c r="F15" s="24">
        <f>D15-E15</f>
        <v/>
      </c>
      <c r="G15" s="24">
        <f>G14+F15</f>
        <v/>
      </c>
    </row>
    <row r="16">
      <c r="A16" s="21" t="n">
        <v>12</v>
      </c>
      <c r="B16" s="22">
        <f>B15*(1-Bemenetek!B17)</f>
        <v/>
      </c>
      <c r="C16" s="23">
        <f>B16*Bemenetek!B15</f>
        <v/>
      </c>
      <c r="D16" s="24">
        <f>C16*Bemenetek!B9</f>
        <v/>
      </c>
      <c r="E16" s="24">
        <f>C16*( Bemenetek!B11*(1-Bemenetek!B13)+Bemenetek!B12*Bemenetek!B13 )</f>
        <v/>
      </c>
      <c r="F16" s="24">
        <f>D16-E16</f>
        <v/>
      </c>
      <c r="G16" s="24">
        <f>G15+F16</f>
        <v/>
      </c>
    </row>
    <row r="17">
      <c r="A17" s="20" t="inlineStr">
        <is>
          <t>Σ 12 hó</t>
        </is>
      </c>
      <c r="B17" s="25" t="inlineStr"/>
      <c r="C17" s="26">
        <f>SUM(C5:C16)</f>
        <v/>
      </c>
      <c r="D17" s="27">
        <f>SUM(D5:D16)</f>
        <v/>
      </c>
      <c r="E17" s="27">
        <f>SUM(E5:E16)</f>
        <v/>
      </c>
      <c r="F17" s="27">
        <f>SUM(F5:F16)</f>
        <v/>
      </c>
      <c r="G17" s="27">
        <f>G16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920A"/>
    <outlinePr summaryBelow="1" summaryRight="1"/>
    <pageSetUpPr/>
  </sheetPr>
  <dimension ref="A1:K2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4" customWidth="1" min="3" max="3"/>
  </cols>
  <sheetData>
    <row r="1">
      <c r="A1" s="1" t="inlineStr">
        <is>
          <t>BREAK-EVEN &amp; ÉRZÉKENYSÉG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Mikor termel vissza egy felhasználó · lot-érzékenység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A4" s="13" t="inlineStr">
        <is>
          <t>Mutató</t>
        </is>
      </c>
      <c r="B4" s="14" t="inlineStr">
        <is>
          <t>Érték</t>
        </is>
      </c>
      <c r="C4" s="13" t="inlineStr">
        <is>
          <t>Megjegyzés</t>
        </is>
      </c>
    </row>
    <row r="5">
      <c r="A5" s="5" t="inlineStr">
        <is>
          <t>Nettó margin / lot (RevShare − rebate)</t>
        </is>
      </c>
      <c r="B5" s="28">
        <f>Bemenetek!B9-( Bemenetek!B11*(1-Bemenetek!B13)+Bemenetek!B12*Bemenetek!B13 )</f>
        <v/>
      </c>
      <c r="C5" s="7" t="inlineStr">
        <is>
          <t>Folyó hozzájárulás lotonként</t>
        </is>
      </c>
    </row>
    <row r="6">
      <c r="A6" s="5" t="inlineStr">
        <is>
          <t>Akvizíciós + welcome + referral teher / FTD</t>
        </is>
      </c>
      <c r="B6" s="28">
        <f>Bemenetek!B21+Bemenetek!B6+Bemenetek!B7</f>
        <v/>
      </c>
      <c r="C6" s="7" t="inlineStr">
        <is>
          <t>Amit vissza kell termelni</t>
        </is>
      </c>
    </row>
    <row r="7">
      <c r="A7" s="5" t="inlineStr">
        <is>
          <t>CPA fedezet / FTD</t>
        </is>
      </c>
      <c r="B7" s="28">
        <f>Bemenetek!B5</f>
        <v/>
      </c>
      <c r="C7" s="7" t="inlineStr">
        <is>
          <t>Broker fizeti FTD-nél</t>
        </is>
      </c>
    </row>
    <row r="8">
      <c r="A8" s="5" t="inlineStr">
        <is>
          <t>Nettó kezdő pozíció / FTD</t>
        </is>
      </c>
      <c r="B8" s="28">
        <f>Bemenetek!B5-(Bemenetek!B21+Bemenetek!B6+Bemenetek!B7)</f>
        <v/>
      </c>
      <c r="C8" s="7" t="inlineStr">
        <is>
          <t>CPA − terhek (&gt;0 = azonnal nyereséges)</t>
        </is>
      </c>
    </row>
    <row r="9">
      <c r="A9" s="5" t="inlineStr">
        <is>
          <t>Break-even lot (ha nettó kezdő &lt; 0)</t>
        </is>
      </c>
      <c r="B9" s="29">
        <f>IF('Break-even'!B8&gt;=0,0,-'Break-even'!B8/'Break-even'!B5)</f>
        <v/>
      </c>
      <c r="C9" s="7" t="inlineStr">
        <is>
          <t>Hány lot kell a nullszaldóhoz</t>
        </is>
      </c>
    </row>
    <row r="10">
      <c r="A10" s="5" t="inlineStr">
        <is>
          <t>Break-even invitáció / CPA</t>
        </is>
      </c>
      <c r="B10" s="29">
        <f>(Bemenetek!B21+Bemenetek!B6+Bemenetek!B7)/Bemenetek!B23</f>
        <v/>
      </c>
      <c r="C10" s="7" t="inlineStr">
        <is>
          <t>Hány invite termeli vissza a terhet</t>
        </is>
      </c>
    </row>
    <row r="13">
      <c r="A13" s="4" t="inlineStr">
        <is>
          <t>ÉRZÉKENYSÉG — nettó 12 hó margin / trader vs. lot/hó</t>
        </is>
      </c>
    </row>
    <row r="14">
      <c r="A14" s="20" t="inlineStr">
        <is>
          <t>lot / hó</t>
        </is>
      </c>
      <c r="B14" s="20" t="inlineStr">
        <is>
          <t>nettó 12 hó margin</t>
        </is>
      </c>
      <c r="C14" s="30" t="inlineStr">
        <is>
          <t>megjegyzés</t>
        </is>
      </c>
    </row>
    <row r="15">
      <c r="A15" s="21" t="n">
        <v>2</v>
      </c>
      <c r="B15" s="10">
        <f>2*('Break-even'!B5)*12+Bemenetek!B23-Bemenetek!B21</f>
        <v/>
      </c>
      <c r="C15" s="7" t="inlineStr">
        <is>
          <t>low-volume</t>
        </is>
      </c>
    </row>
    <row r="16">
      <c r="A16" s="21" t="n">
        <v>5</v>
      </c>
      <c r="B16" s="10">
        <f>5*('Break-even'!B5)*12+Bemenetek!B23-Bemenetek!B21</f>
        <v/>
      </c>
      <c r="C16" s="7" t="inlineStr">
        <is>
          <t>low-volume</t>
        </is>
      </c>
    </row>
    <row r="17">
      <c r="A17" s="21" t="n">
        <v>10</v>
      </c>
      <c r="B17" s="10">
        <f>10*('Break-even'!B5)*12+Bemenetek!B23-Bemenetek!B21</f>
        <v/>
      </c>
      <c r="C17" s="7" t="inlineStr">
        <is>
          <t>base case</t>
        </is>
      </c>
    </row>
    <row r="18">
      <c r="A18" s="21" t="n">
        <v>15</v>
      </c>
      <c r="B18" s="10">
        <f>15*('Break-even'!B5)*12+Bemenetek!B23-Bemenetek!B21</f>
        <v/>
      </c>
      <c r="C18" s="7" t="inlineStr">
        <is>
          <t>high-volume</t>
        </is>
      </c>
    </row>
    <row r="19">
      <c r="A19" s="21" t="n">
        <v>25</v>
      </c>
      <c r="B19" s="10">
        <f>25*('Break-even'!B5)*12+Bemenetek!B23-Bemenetek!B21</f>
        <v/>
      </c>
      <c r="C19" s="7" t="inlineStr">
        <is>
          <t>high-volume</t>
        </is>
      </c>
    </row>
    <row r="20">
      <c r="A20" s="21" t="n">
        <v>50</v>
      </c>
      <c r="B20" s="10">
        <f>50*('Break-even'!B5)*12+Bemenetek!B23-Bemenetek!B21</f>
        <v/>
      </c>
      <c r="C20" s="7" t="inlineStr">
        <is>
          <t>high-volume</t>
        </is>
      </c>
    </row>
  </sheetData>
  <mergeCells count="1">
    <mergeCell ref="A13:C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4920A"/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HASZNÁLAT &amp; COMPLIANCE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Hogyan hangold a modellt — és mit NEM szabad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A4" s="31" t="inlineStr"/>
    </row>
    <row r="5">
      <c r="A5" s="32" t="inlineStr">
        <is>
          <t>HASZNÁLAT</t>
        </is>
      </c>
    </row>
    <row r="6">
      <c r="A6" s="33" t="inlineStr">
        <is>
          <t>1. Csak a 'Bemenetek' lap sárga celláit módosítsd. Minden más képlet, automatikusan frissül.</t>
        </is>
      </c>
    </row>
    <row r="7">
      <c r="A7" s="33" t="inlineStr">
        <is>
          <t>2. A 'Unit Economics' egyetlen retained trader gazdaságtanát mutatja.</t>
        </is>
      </c>
    </row>
    <row r="8">
      <c r="A8" s="33" t="inlineStr">
        <is>
          <t>3. A 'Cohort &amp; LTV' egy havi signup-csoportot vetít előre 12 hónapra, churn-nel.</t>
        </is>
      </c>
    </row>
    <row r="9">
      <c r="A9" s="33" t="inlineStr">
        <is>
          <t>4. A 'Break-even' megmutatja, mennyi lot / invite kell a megtérüléshez + lot-érzékenység.</t>
        </is>
      </c>
    </row>
    <row r="10">
      <c r="A10" s="31" t="inlineStr"/>
    </row>
    <row r="11">
      <c r="A11" s="32" t="inlineStr">
        <is>
          <t>FELTÉTELEZÉSEK</t>
        </is>
      </c>
    </row>
    <row r="12">
      <c r="A12" s="34" t="inlineStr">
        <is>
          <t>• A RevShare gross/lot a broker-nettó ~30%-a (~$8 nettó → $2.40). Valós riportból írd felül.</t>
        </is>
      </c>
    </row>
    <row r="13">
      <c r="A13" s="34" t="inlineStr">
        <is>
          <t>• A retenció egyszerűsített: konstans havi churn. Valós cohort-adat pontosabb.</t>
        </is>
      </c>
    </row>
    <row r="14">
      <c r="A14" s="34" t="inlineStr">
        <is>
          <t>• A CPA nettó margin egyszeri, az FTD hónapjában realizálódik.</t>
        </is>
      </c>
    </row>
    <row r="15">
      <c r="A15" s="31" t="inlineStr"/>
    </row>
    <row r="16">
      <c r="A16" s="32" t="inlineStr">
        <is>
          <t>NON-NEGOTIABLE COMPLIANCE</t>
        </is>
      </c>
    </row>
    <row r="17">
      <c r="A17" s="35" t="inlineStr">
        <is>
          <t>• A rebate KÉSZPÉNZ — soha nem trade-locked. A modell sem feltételez trade-lockot.</t>
        </is>
      </c>
    </row>
    <row r="18">
      <c r="A18" s="35" t="inlineStr">
        <is>
          <t>• Jutalom CSAK broker-megerősített FTD + qualifying volume után (FTD konverzió input).</t>
        </is>
      </c>
    </row>
    <row r="19">
      <c r="A19" s="35" t="inlineStr">
        <is>
          <t>• Clawback: ha a broker visszavonja a CPA-t, a nettó margin és a kifizetett jutalom visszaíródik.</t>
        </is>
      </c>
    </row>
    <row r="20">
      <c r="A20" s="35" t="inlineStr">
        <is>
          <t>• Ez NEM befektetési modell ügyfeleknek — belső pénzügyi tervezés. Tools, not tips.</t>
        </is>
      </c>
    </row>
    <row r="21">
      <c r="A21" s="31" t="inlineStr"/>
    </row>
    <row r="22">
      <c r="A22" s="34" t="inlineStr">
        <is>
          <t>Forrás: packages/shared/src/compliance.ts — a konstansok módosítása jogi review-t igényel.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2026-06-03T18:57:24Z</dcterms:created>
  <dcterms:modified xmlns:dcterms="http://purl.org/dc/terms/" xmlns:xsi="http://www.w3.org/2001/XMLSchema-instance" xsi:type="dcterms:W3CDTF">2026-06-03T18:57:24Z</dcterms:modified>
</cp:coreProperties>
</file>